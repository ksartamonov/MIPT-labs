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rill/Desktop/"/>
    </mc:Choice>
  </mc:AlternateContent>
  <xr:revisionPtr revIDLastSave="0" documentId="13_ncr:1_{D3846FFE-1DBF-474A-B8D7-66C1E0CC60D0}" xr6:coauthVersionLast="46" xr6:coauthVersionMax="46" xr10:uidLastSave="{00000000-0000-0000-0000-000000000000}"/>
  <bookViews>
    <workbookView xWindow="0" yWindow="640" windowWidth="24940" windowHeight="16300" xr2:uid="{5A768369-411E-C046-BD20-4B967C7BCF3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4" i="1"/>
  <c r="F3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4" i="1"/>
</calcChain>
</file>

<file path=xl/sharedStrings.xml><?xml version="1.0" encoding="utf-8"?>
<sst xmlns="http://schemas.openxmlformats.org/spreadsheetml/2006/main" count="127" uniqueCount="8">
  <si>
    <t>P = 6 кПа</t>
  </si>
  <si>
    <t>t, c</t>
  </si>
  <si>
    <t>U, мВ</t>
  </si>
  <si>
    <t>-ln(U/Uo)</t>
  </si>
  <si>
    <t>P = 11 кПа</t>
  </si>
  <si>
    <t>P = 16 кПа</t>
  </si>
  <si>
    <t>P = 26 кПа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</si>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</sst>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"/>
  </numFmts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Border="1"/>
    <xf numFmtId="2" fontId="0" fillId="0" borderId="0" xfId="0" applyNumberForma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49" fontId="0" fillId="0" borderId="5" xfId="0" applyNumberFormat="1" applyBorder="1"/>
    <xf numFmtId="0" fontId="0" fillId="0" borderId="6" xfId="0" applyBorder="1"/>
    <xf numFmtId="2" fontId="0" fillId="0" borderId="7" xfId="0" applyNumberFormat="1" applyBorder="1"/>
    <xf numFmtId="0" fontId="0" fillId="0" borderId="0" xfId="0" applyFill="1" applyBorder="1"/>
    <xf numFmtId="2" fontId="0" fillId="0" borderId="0" xfId="0" applyNumberFormat="1" applyFill="1" applyBorder="1"/>
    <xf numFmtId="0" fontId="0" fillId="0" borderId="7" xfId="0" applyFill="1" applyBorder="1"/>
    <xf numFmtId="0" fontId="0" fillId="0" borderId="7" xfId="0" applyBorder="1"/>
    <xf numFmtId="1" fontId="0" fillId="0" borderId="5" xfId="0" applyNumberFormat="1" applyBorder="1"/>
    <xf numFmtId="173" fontId="0" fillId="0" borderId="5" xfId="0" applyNumberFormat="1" applyBorder="1"/>
    <xf numFmtId="173" fontId="0" fillId="0" borderId="8" xfId="0" applyNumberFormat="1" applyBorder="1"/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P = 6 кПа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Лист1!$G$3:$G$39</c:f>
              <c:numCache>
                <c:formatCode>General</c:formatCode>
                <c:ptCount val="37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</c:numCache>
            </c:numRef>
          </c:cat>
          <c:val>
            <c:numRef>
              <c:f>Лист1!$C$3:$C$27</c:f>
              <c:numCache>
                <c:formatCode>0.000</c:formatCode>
                <c:ptCount val="25"/>
                <c:pt idx="0" formatCode="0">
                  <c:v>0</c:v>
                </c:pt>
                <c:pt idx="1">
                  <c:v>4.1528458696582227E-2</c:v>
                </c:pt>
                <c:pt idx="2">
                  <c:v>7.7503561154860137E-2</c:v>
                </c:pt>
                <c:pt idx="3">
                  <c:v>0.11863085257872298</c:v>
                </c:pt>
                <c:pt idx="4">
                  <c:v>0.1535858676122997</c:v>
                </c:pt>
                <c:pt idx="5">
                  <c:v>0.19391391299927135</c:v>
                </c:pt>
                <c:pt idx="6">
                  <c:v>0.23165424098211848</c:v>
                </c:pt>
                <c:pt idx="7">
                  <c:v>0.27087495413539975</c:v>
                </c:pt>
                <c:pt idx="8">
                  <c:v>0.30707800279936032</c:v>
                </c:pt>
                <c:pt idx="9">
                  <c:v>0.34464110437500889</c:v>
                </c:pt>
                <c:pt idx="10">
                  <c:v>0.37870765893861508</c:v>
                </c:pt>
                <c:pt idx="11">
                  <c:v>0.41911719727649177</c:v>
                </c:pt>
                <c:pt idx="12">
                  <c:v>0.45586673948523321</c:v>
                </c:pt>
                <c:pt idx="13">
                  <c:v>0.48847832507399408</c:v>
                </c:pt>
                <c:pt idx="14">
                  <c:v>0.52218938241630586</c:v>
                </c:pt>
                <c:pt idx="15">
                  <c:v>0.56301137693656111</c:v>
                </c:pt>
                <c:pt idx="16">
                  <c:v>0.59937902110743579</c:v>
                </c:pt>
                <c:pt idx="17">
                  <c:v>0.63711934909028278</c:v>
                </c:pt>
                <c:pt idx="18">
                  <c:v>0.67634006224356413</c:v>
                </c:pt>
                <c:pt idx="19">
                  <c:v>0.71716205676381928</c:v>
                </c:pt>
                <c:pt idx="20">
                  <c:v>0.74533293373051557</c:v>
                </c:pt>
                <c:pt idx="21">
                  <c:v>0.78170057790139036</c:v>
                </c:pt>
                <c:pt idx="22">
                  <c:v>0.81944090588423746</c:v>
                </c:pt>
                <c:pt idx="23">
                  <c:v>0.8586616190375187</c:v>
                </c:pt>
                <c:pt idx="24">
                  <c:v>0.89118481074307876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CC-4340-BD77-3FEA8333FE6A}"/>
            </c:ext>
          </c:extLst>
        </c:ser>
        <c:ser>
          <c:idx val="1"/>
          <c:order val="1"/>
          <c:tx>
            <c:v>P = 11 кПа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Лист1!$G$3:$G$39</c:f>
              <c:numCache>
                <c:formatCode>General</c:formatCode>
                <c:ptCount val="37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</c:numCache>
            </c:numRef>
          </c:cat>
          <c:val>
            <c:numRef>
              <c:f>Лист1!$F$3:$F$27</c:f>
              <c:numCache>
                <c:formatCode>0.000</c:formatCode>
                <c:ptCount val="25"/>
                <c:pt idx="0" formatCode="0">
                  <c:v>0</c:v>
                </c:pt>
                <c:pt idx="1">
                  <c:v>2.0221277247232858E-2</c:v>
                </c:pt>
                <c:pt idx="2">
                  <c:v>4.6563346007324244E-2</c:v>
                </c:pt>
                <c:pt idx="3">
                  <c:v>7.26391836399716E-2</c:v>
                </c:pt>
                <c:pt idx="4">
                  <c:v>9.8408696819023089E-2</c:v>
                </c:pt>
                <c:pt idx="5">
                  <c:v>0.12485988290619292</c:v>
                </c:pt>
                <c:pt idx="6">
                  <c:v>0.14991338535174298</c:v>
                </c:pt>
                <c:pt idx="7">
                  <c:v>0.17452671990076923</c:v>
                </c:pt>
                <c:pt idx="8">
                  <c:v>0.19976119107931065</c:v>
                </c:pt>
                <c:pt idx="9">
                  <c:v>0.21431097209404198</c:v>
                </c:pt>
                <c:pt idx="10">
                  <c:v>0.25105448546686115</c:v>
                </c:pt>
                <c:pt idx="11">
                  <c:v>0.27472422955276593</c:v>
                </c:pt>
                <c:pt idx="12">
                  <c:v>0.30142484485581078</c:v>
                </c:pt>
                <c:pt idx="13">
                  <c:v>0.32507249315648562</c:v>
                </c:pt>
                <c:pt idx="14">
                  <c:v>0.35058408081389425</c:v>
                </c:pt>
                <c:pt idx="15">
                  <c:v>0.37411457822408845</c:v>
                </c:pt>
                <c:pt idx="16">
                  <c:v>0.39821212980314896</c:v>
                </c:pt>
                <c:pt idx="17">
                  <c:v>0.42151681711867234</c:v>
                </c:pt>
                <c:pt idx="18">
                  <c:v>0.44679906259295638</c:v>
                </c:pt>
                <c:pt idx="19">
                  <c:v>0.47127832667773617</c:v>
                </c:pt>
                <c:pt idx="20">
                  <c:v>0.49637189427539291</c:v>
                </c:pt>
                <c:pt idx="21">
                  <c:v>0.51904860294642274</c:v>
                </c:pt>
                <c:pt idx="22">
                  <c:v>0.54225150002608657</c:v>
                </c:pt>
                <c:pt idx="23">
                  <c:v>0.56921586166444205</c:v>
                </c:pt>
                <c:pt idx="24">
                  <c:v>0.59198107243745424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CC-4340-BD77-3FEA8333FE6A}"/>
            </c:ext>
          </c:extLst>
        </c:ser>
        <c:ser>
          <c:idx val="2"/>
          <c:order val="2"/>
          <c:tx>
            <c:v>P = 16 кПа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Лист1!$G$3:$G$39</c:f>
              <c:numCache>
                <c:formatCode>General</c:formatCode>
                <c:ptCount val="37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</c:numCache>
            </c:numRef>
          </c:cat>
          <c:val>
            <c:numRef>
              <c:f>Лист1!$I$3:$I$39</c:f>
              <c:numCache>
                <c:formatCode>0.000</c:formatCode>
                <c:ptCount val="37"/>
                <c:pt idx="0">
                  <c:v>0</c:v>
                </c:pt>
                <c:pt idx="1">
                  <c:v>3.077165866675366E-2</c:v>
                </c:pt>
                <c:pt idx="2">
                  <c:v>5.0261834780888311E-2</c:v>
                </c:pt>
                <c:pt idx="3">
                  <c:v>7.0139441457773427E-2</c:v>
                </c:pt>
                <c:pt idx="4">
                  <c:v>8.7497640067531288E-2</c:v>
                </c:pt>
                <c:pt idx="5">
                  <c:v>0.10516247624733652</c:v>
                </c:pt>
                <c:pt idx="6">
                  <c:v>0.12314497879776894</c:v>
                </c:pt>
                <c:pt idx="7">
                  <c:v>0.14145678244010657</c:v>
                </c:pt>
                <c:pt idx="8">
                  <c:v>0.15802030811178117</c:v>
                </c:pt>
                <c:pt idx="9">
                  <c:v>0.17592494649726206</c:v>
                </c:pt>
                <c:pt idx="10">
                  <c:v>0.19415601444095751</c:v>
                </c:pt>
                <c:pt idx="11">
                  <c:v>0.21052299190516291</c:v>
                </c:pt>
                <c:pt idx="12">
                  <c:v>0.22828150520614271</c:v>
                </c:pt>
                <c:pt idx="13">
                  <c:v>0.24522149244752503</c:v>
                </c:pt>
                <c:pt idx="14">
                  <c:v>0.26129531727858607</c:v>
                </c:pt>
                <c:pt idx="15">
                  <c:v>0.27880889977129425</c:v>
                </c:pt>
                <c:pt idx="16">
                  <c:v>0.29543636123178624</c:v>
                </c:pt>
                <c:pt idx="17">
                  <c:v>0.31234497663021332</c:v>
                </c:pt>
                <c:pt idx="18">
                  <c:v>0.32954441781269284</c:v>
                </c:pt>
                <c:pt idx="19">
                  <c:v>0.34704486444779375</c:v>
                </c:pt>
                <c:pt idx="20">
                  <c:v>0.36229293624295572</c:v>
                </c:pt>
                <c:pt idx="21">
                  <c:v>0.37777711657699758</c:v>
                </c:pt>
                <c:pt idx="22">
                  <c:v>0.39482670990310875</c:v>
                </c:pt>
                <c:pt idx="23">
                  <c:v>0.41217204136488261</c:v>
                </c:pt>
                <c:pt idx="24">
                  <c:v>0.42708757212133014</c:v>
                </c:pt>
                <c:pt idx="25">
                  <c:v>0.44500672836159488</c:v>
                </c:pt>
                <c:pt idx="26">
                  <c:v>0.46183742018606888</c:v>
                </c:pt>
                <c:pt idx="27">
                  <c:v>0.4760826753221179</c:v>
                </c:pt>
                <c:pt idx="28">
                  <c:v>0.49344924782041638</c:v>
                </c:pt>
                <c:pt idx="29">
                  <c:v>0.51112275643791383</c:v>
                </c:pt>
                <c:pt idx="30">
                  <c:v>0.52760253014563352</c:v>
                </c:pt>
                <c:pt idx="31">
                  <c:v>0.54282352415598878</c:v>
                </c:pt>
                <c:pt idx="32">
                  <c:v>0.5582797823926805</c:v>
                </c:pt>
                <c:pt idx="33">
                  <c:v>0.57397869193578432</c:v>
                </c:pt>
                <c:pt idx="34">
                  <c:v>0.58832156729518836</c:v>
                </c:pt>
                <c:pt idx="35">
                  <c:v>0.60450315014643041</c:v>
                </c:pt>
                <c:pt idx="36">
                  <c:v>0.61929388814782671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CC-4340-BD77-3FEA8333FE6A}"/>
            </c:ext>
          </c:extLst>
        </c:ser>
        <c:ser>
          <c:idx val="3"/>
          <c:order val="3"/>
          <c:tx>
            <c:v>P = 26 кПа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Лист1!$G$3:$G$39</c:f>
              <c:numCache>
                <c:formatCode>General</c:formatCode>
                <c:ptCount val="37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</c:numCache>
            </c:numRef>
          </c:cat>
          <c:val>
            <c:numRef>
              <c:f>Лист1!$L$3:$L$26</c:f>
              <c:numCache>
                <c:formatCode>0.000</c:formatCode>
                <c:ptCount val="24"/>
                <c:pt idx="0" formatCode="0">
                  <c:v>0</c:v>
                </c:pt>
                <c:pt idx="1">
                  <c:v>1.9360247284541422E-2</c:v>
                </c:pt>
                <c:pt idx="2">
                  <c:v>3.2986498996306658E-2</c:v>
                </c:pt>
                <c:pt idx="3">
                  <c:v>4.602849436670281E-2</c:v>
                </c:pt>
                <c:pt idx="4">
                  <c:v>5.7679111586678045E-2</c:v>
                </c:pt>
                <c:pt idx="5">
                  <c:v>6.946706733872024E-2</c:v>
                </c:pt>
                <c:pt idx="6">
                  <c:v>8.059595803342981E-2</c:v>
                </c:pt>
                <c:pt idx="7">
                  <c:v>9.2658830482704832E-2</c:v>
                </c:pt>
                <c:pt idx="8">
                  <c:v>0.10405032876880026</c:v>
                </c:pt>
                <c:pt idx="9">
                  <c:v>0.11474561788554821</c:v>
                </c:pt>
                <c:pt idx="10">
                  <c:v>0.12305131347282669</c:v>
                </c:pt>
                <c:pt idx="11">
                  <c:v>0.13817765230297852</c:v>
                </c:pt>
                <c:pt idx="12">
                  <c:v>0.14839050702827256</c:v>
                </c:pt>
                <c:pt idx="13">
                  <c:v>0.15957341926801807</c:v>
                </c:pt>
                <c:pt idx="14">
                  <c:v>0.17175807828438541</c:v>
                </c:pt>
                <c:pt idx="15">
                  <c:v>0.1814369923842204</c:v>
                </c:pt>
                <c:pt idx="16">
                  <c:v>0.19299781478529651</c:v>
                </c:pt>
                <c:pt idx="17">
                  <c:v>0.20378928641806077</c:v>
                </c:pt>
                <c:pt idx="18">
                  <c:v>0.21561298032380244</c:v>
                </c:pt>
                <c:pt idx="19">
                  <c:v>0.22572800909391408</c:v>
                </c:pt>
                <c:pt idx="20">
                  <c:v>0.23688054104438905</c:v>
                </c:pt>
                <c:pt idx="21">
                  <c:v>0.24721412289893449</c:v>
                </c:pt>
                <c:pt idx="22">
                  <c:v>0.25765560361935336</c:v>
                </c:pt>
                <c:pt idx="23">
                  <c:v>0.26724340477450681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ECC-4340-BD77-3FEA8333F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450112"/>
        <c:axId val="235279344"/>
      </c:lineChart>
      <c:catAx>
        <c:axId val="2414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5279344"/>
        <c:crosses val="autoZero"/>
        <c:auto val="1"/>
        <c:lblAlgn val="ctr"/>
        <c:lblOffset val="100"/>
        <c:noMultiLvlLbl val="0"/>
      </c:catAx>
      <c:valAx>
        <c:axId val="23527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14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749300</xdr:colOff>
      <xdr:row>10</xdr:row>
      <xdr:rowOff>38100</xdr:rowOff>
    </xdr:from>
    <xdr:to>
      <xdr:col>20</xdr:col>
      <xdr:colOff>146187</xdr:colOff>
      <xdr:row>23</xdr:row>
      <xdr:rowOff>139700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B2115D6-1A45-0242-90D3-3E243A506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B138B-0215-6D46-87C0-5D1CD1E77744}">
  <dimension ref="A1:L39"/>
  <sheetViews>
    <sheetView tabSelected="1" zoomScale="90" workbookViewId="0">
      <selection activeCell="N5" sqref="N5"/>
    </sheetView>
  </sheetViews>
  <sheetFormatPr baseColWidth="10" defaultRowHeight="16" x14ac:dyDescent="0.2"/>
  <cols>
    <col min="5" max="5" width="12.6640625" bestFit="1" customWidth="1"/>
  </cols>
  <sheetData>
    <row r="1" spans="1:12" x14ac:dyDescent="0.2">
      <c r="A1" s="3" t="s">
        <v>0</v>
      </c>
      <c r="B1" s="4"/>
      <c r="C1" s="5"/>
      <c r="D1" s="3" t="s">
        <v>4</v>
      </c>
      <c r="E1" s="4"/>
      <c r="F1" s="5"/>
      <c r="G1" s="3" t="s">
        <v>5</v>
      </c>
      <c r="H1" s="4"/>
      <c r="I1" s="5"/>
      <c r="J1" s="3" t="s">
        <v>6</v>
      </c>
      <c r="K1" s="4"/>
      <c r="L1" s="5"/>
    </row>
    <row r="2" spans="1:12" x14ac:dyDescent="0.2">
      <c r="A2" s="6" t="s">
        <v>1</v>
      </c>
      <c r="B2" s="1" t="s">
        <v>2</v>
      </c>
      <c r="C2" s="7" t="s">
        <v>3</v>
      </c>
      <c r="D2" s="6" t="s">
        <v>1</v>
      </c>
      <c r="E2" s="1" t="s">
        <v>2</v>
      </c>
      <c r="F2" s="7" t="s">
        <v>3</v>
      </c>
      <c r="G2" s="6" t="s">
        <v>1</v>
      </c>
      <c r="H2" s="1" t="s">
        <v>2</v>
      </c>
      <c r="I2" s="7" t="s">
        <v>3</v>
      </c>
      <c r="J2" s="6" t="s">
        <v>1</v>
      </c>
      <c r="K2" s="1" t="s">
        <v>2</v>
      </c>
      <c r="L2" s="7" t="s">
        <v>3</v>
      </c>
    </row>
    <row r="3" spans="1:12" x14ac:dyDescent="0.2">
      <c r="A3" s="6">
        <v>0</v>
      </c>
      <c r="B3" s="1">
        <v>2.95</v>
      </c>
      <c r="C3" s="14">
        <v>0</v>
      </c>
      <c r="D3" s="6">
        <v>0</v>
      </c>
      <c r="E3" s="10">
        <v>10.99</v>
      </c>
      <c r="F3" s="14">
        <f>LN(E3/$E$3)</f>
        <v>0</v>
      </c>
      <c r="G3" s="6">
        <v>0</v>
      </c>
      <c r="H3" s="10">
        <v>11.22</v>
      </c>
      <c r="I3" s="15">
        <f>-LN(H3/$H$3)</f>
        <v>0</v>
      </c>
      <c r="J3" s="6">
        <v>0</v>
      </c>
      <c r="K3" s="10">
        <v>13.56</v>
      </c>
      <c r="L3" s="14">
        <f>-LN(K3/$K$3)</f>
        <v>0</v>
      </c>
    </row>
    <row r="4" spans="1:12" x14ac:dyDescent="0.2">
      <c r="A4" s="6">
        <v>20</v>
      </c>
      <c r="B4" s="2">
        <v>2.83</v>
      </c>
      <c r="C4" s="15">
        <f>-LN(B4/$B$3)</f>
        <v>4.1528458696582227E-2</v>
      </c>
      <c r="D4" s="6">
        <v>20</v>
      </c>
      <c r="E4" s="10">
        <v>10.77</v>
      </c>
      <c r="F4" s="15">
        <f>-LN(E4/$E$3)</f>
        <v>2.0221277247232858E-2</v>
      </c>
      <c r="G4" s="6">
        <v>20</v>
      </c>
      <c r="H4" s="10">
        <v>10.88</v>
      </c>
      <c r="I4" s="15">
        <f t="shared" ref="I4:I39" si="0">-LN(H4/$H$3)</f>
        <v>3.077165866675366E-2</v>
      </c>
      <c r="J4" s="6">
        <v>20</v>
      </c>
      <c r="K4" s="11">
        <v>13.3</v>
      </c>
      <c r="L4" s="15">
        <f t="shared" ref="L4:L26" si="1">-LN(K4/$K$3)</f>
        <v>1.9360247284541422E-2</v>
      </c>
    </row>
    <row r="5" spans="1:12" x14ac:dyDescent="0.2">
      <c r="A5" s="6">
        <v>40</v>
      </c>
      <c r="B5" s="1">
        <v>2.73</v>
      </c>
      <c r="C5" s="15">
        <f t="shared" ref="C5:C27" si="2">-LN(B5/$B$3)</f>
        <v>7.7503561154860137E-2</v>
      </c>
      <c r="D5" s="6">
        <v>40</v>
      </c>
      <c r="E5" s="10">
        <v>10.49</v>
      </c>
      <c r="F5" s="15">
        <f t="shared" ref="F5:F27" si="3">-LN(E5/$E$3)</f>
        <v>4.6563346007324244E-2</v>
      </c>
      <c r="G5" s="6">
        <v>40</v>
      </c>
      <c r="H5" s="10">
        <v>10.67</v>
      </c>
      <c r="I5" s="15">
        <f t="shared" si="0"/>
        <v>5.0261834780888311E-2</v>
      </c>
      <c r="J5" s="6">
        <v>40</v>
      </c>
      <c r="K5" s="10">
        <v>13.12</v>
      </c>
      <c r="L5" s="15">
        <f t="shared" si="1"/>
        <v>3.2986498996306658E-2</v>
      </c>
    </row>
    <row r="6" spans="1:12" x14ac:dyDescent="0.2">
      <c r="A6" s="6">
        <v>60</v>
      </c>
      <c r="B6" s="1">
        <v>2.62</v>
      </c>
      <c r="C6" s="15">
        <f t="shared" si="2"/>
        <v>0.11863085257872298</v>
      </c>
      <c r="D6" s="6">
        <v>60</v>
      </c>
      <c r="E6" s="10">
        <v>10.220000000000001</v>
      </c>
      <c r="F6" s="15">
        <f t="shared" si="3"/>
        <v>7.26391836399716E-2</v>
      </c>
      <c r="G6" s="6">
        <v>60</v>
      </c>
      <c r="H6" s="10">
        <v>10.46</v>
      </c>
      <c r="I6" s="15">
        <f t="shared" si="0"/>
        <v>7.0139441457773427E-2</v>
      </c>
      <c r="J6" s="6">
        <v>60</v>
      </c>
      <c r="K6" s="10">
        <v>12.95</v>
      </c>
      <c r="L6" s="15">
        <f t="shared" si="1"/>
        <v>4.602849436670281E-2</v>
      </c>
    </row>
    <row r="7" spans="1:12" x14ac:dyDescent="0.2">
      <c r="A7" s="6">
        <v>80</v>
      </c>
      <c r="B7" s="1">
        <v>2.5299999999999998</v>
      </c>
      <c r="C7" s="15">
        <f t="shared" si="2"/>
        <v>0.1535858676122997</v>
      </c>
      <c r="D7" s="6">
        <v>80</v>
      </c>
      <c r="E7" s="10">
        <v>9.9600000000000009</v>
      </c>
      <c r="F7" s="15">
        <f t="shared" si="3"/>
        <v>9.8408696819023089E-2</v>
      </c>
      <c r="G7" s="6">
        <v>80</v>
      </c>
      <c r="H7" s="10">
        <v>10.28</v>
      </c>
      <c r="I7" s="15">
        <f t="shared" si="0"/>
        <v>8.7497640067531288E-2</v>
      </c>
      <c r="J7" s="6">
        <v>80</v>
      </c>
      <c r="K7" s="11">
        <v>12.8</v>
      </c>
      <c r="L7" s="15">
        <f t="shared" si="1"/>
        <v>5.7679111586678045E-2</v>
      </c>
    </row>
    <row r="8" spans="1:12" x14ac:dyDescent="0.2">
      <c r="A8" s="6">
        <v>100</v>
      </c>
      <c r="B8" s="1">
        <v>2.4300000000000002</v>
      </c>
      <c r="C8" s="15">
        <f t="shared" si="2"/>
        <v>0.19391391299927135</v>
      </c>
      <c r="D8" s="6">
        <v>100</v>
      </c>
      <c r="E8" s="11">
        <v>9.6999999999999993</v>
      </c>
      <c r="F8" s="15">
        <f t="shared" si="3"/>
        <v>0.12485988290619292</v>
      </c>
      <c r="G8" s="6">
        <v>100</v>
      </c>
      <c r="H8" s="11">
        <v>10.1</v>
      </c>
      <c r="I8" s="15">
        <f t="shared" si="0"/>
        <v>0.10516247624733652</v>
      </c>
      <c r="J8" s="6">
        <v>100</v>
      </c>
      <c r="K8" s="10">
        <v>12.65</v>
      </c>
      <c r="L8" s="15">
        <f t="shared" si="1"/>
        <v>6.946706733872024E-2</v>
      </c>
    </row>
    <row r="9" spans="1:12" x14ac:dyDescent="0.2">
      <c r="A9" s="6">
        <v>120</v>
      </c>
      <c r="B9" s="1">
        <v>2.34</v>
      </c>
      <c r="C9" s="15">
        <f t="shared" si="2"/>
        <v>0.23165424098211848</v>
      </c>
      <c r="D9" s="6">
        <v>120</v>
      </c>
      <c r="E9" s="10">
        <v>9.4600000000000009</v>
      </c>
      <c r="F9" s="15">
        <f t="shared" si="3"/>
        <v>0.14991338535174298</v>
      </c>
      <c r="G9" s="6">
        <v>120</v>
      </c>
      <c r="H9" s="10">
        <v>9.92</v>
      </c>
      <c r="I9" s="15">
        <f t="shared" si="0"/>
        <v>0.12314497879776894</v>
      </c>
      <c r="J9" s="6">
        <v>120</v>
      </c>
      <c r="K9" s="10">
        <v>12.51</v>
      </c>
      <c r="L9" s="15">
        <f t="shared" si="1"/>
        <v>8.059595803342981E-2</v>
      </c>
    </row>
    <row r="10" spans="1:12" x14ac:dyDescent="0.2">
      <c r="A10" s="6">
        <v>140</v>
      </c>
      <c r="B10" s="1">
        <v>2.25</v>
      </c>
      <c r="C10" s="15">
        <f t="shared" si="2"/>
        <v>0.27087495413539975</v>
      </c>
      <c r="D10" s="6">
        <v>140</v>
      </c>
      <c r="E10" s="10">
        <v>9.23</v>
      </c>
      <c r="F10" s="15">
        <f t="shared" si="3"/>
        <v>0.17452671990076923</v>
      </c>
      <c r="G10" s="6">
        <v>140</v>
      </c>
      <c r="H10" s="10">
        <v>9.74</v>
      </c>
      <c r="I10" s="15">
        <f t="shared" si="0"/>
        <v>0.14145678244010657</v>
      </c>
      <c r="J10" s="6">
        <v>140</v>
      </c>
      <c r="K10" s="10">
        <v>12.36</v>
      </c>
      <c r="L10" s="15">
        <f t="shared" si="1"/>
        <v>9.2658830482704832E-2</v>
      </c>
    </row>
    <row r="11" spans="1:12" x14ac:dyDescent="0.2">
      <c r="A11" s="6">
        <v>160</v>
      </c>
      <c r="B11" s="1">
        <v>2.17</v>
      </c>
      <c r="C11" s="15">
        <f t="shared" si="2"/>
        <v>0.30707800279936032</v>
      </c>
      <c r="D11" s="6">
        <v>160</v>
      </c>
      <c r="E11" s="11">
        <v>9</v>
      </c>
      <c r="F11" s="15">
        <f t="shared" si="3"/>
        <v>0.19976119107931065</v>
      </c>
      <c r="G11" s="6">
        <v>160</v>
      </c>
      <c r="H11" s="10">
        <v>9.58</v>
      </c>
      <c r="I11" s="15">
        <f t="shared" si="0"/>
        <v>0.15802030811178117</v>
      </c>
      <c r="J11" s="6">
        <v>160</v>
      </c>
      <c r="K11" s="10">
        <v>12.22</v>
      </c>
      <c r="L11" s="15">
        <f t="shared" si="1"/>
        <v>0.10405032876880026</v>
      </c>
    </row>
    <row r="12" spans="1:12" x14ac:dyDescent="0.2">
      <c r="A12" s="6">
        <v>180</v>
      </c>
      <c r="B12" s="1">
        <v>2.09</v>
      </c>
      <c r="C12" s="15">
        <f t="shared" si="2"/>
        <v>0.34464110437500889</v>
      </c>
      <c r="D12" s="6">
        <v>180</v>
      </c>
      <c r="E12" s="10">
        <v>8.8699999999999992</v>
      </c>
      <c r="F12" s="15">
        <f t="shared" si="3"/>
        <v>0.21431097209404198</v>
      </c>
      <c r="G12" s="6">
        <v>180</v>
      </c>
      <c r="H12" s="10">
        <v>9.41</v>
      </c>
      <c r="I12" s="15">
        <f t="shared" si="0"/>
        <v>0.17592494649726206</v>
      </c>
      <c r="J12" s="6">
        <v>180</v>
      </c>
      <c r="K12" s="10">
        <v>12.09</v>
      </c>
      <c r="L12" s="15">
        <f t="shared" si="1"/>
        <v>0.11474561788554821</v>
      </c>
    </row>
    <row r="13" spans="1:12" x14ac:dyDescent="0.2">
      <c r="A13" s="6">
        <v>200</v>
      </c>
      <c r="B13" s="1">
        <v>2.02</v>
      </c>
      <c r="C13" s="15">
        <f t="shared" si="2"/>
        <v>0.37870765893861508</v>
      </c>
      <c r="D13" s="6">
        <v>200</v>
      </c>
      <c r="E13" s="10">
        <v>8.5500000000000007</v>
      </c>
      <c r="F13" s="15">
        <f t="shared" si="3"/>
        <v>0.25105448546686115</v>
      </c>
      <c r="G13" s="6">
        <v>200</v>
      </c>
      <c r="H13" s="10">
        <v>9.24</v>
      </c>
      <c r="I13" s="15">
        <f t="shared" si="0"/>
        <v>0.19415601444095751</v>
      </c>
      <c r="J13" s="6">
        <v>200</v>
      </c>
      <c r="K13" s="10">
        <v>11.99</v>
      </c>
      <c r="L13" s="15">
        <f t="shared" si="1"/>
        <v>0.12305131347282669</v>
      </c>
    </row>
    <row r="14" spans="1:12" x14ac:dyDescent="0.2">
      <c r="A14" s="6">
        <v>220</v>
      </c>
      <c r="B14" s="1">
        <v>1.94</v>
      </c>
      <c r="C14" s="15">
        <f t="shared" si="2"/>
        <v>0.41911719727649177</v>
      </c>
      <c r="D14" s="6">
        <v>220</v>
      </c>
      <c r="E14" s="10">
        <v>8.35</v>
      </c>
      <c r="F14" s="15">
        <f t="shared" si="3"/>
        <v>0.27472422955276593</v>
      </c>
      <c r="G14" s="6">
        <v>220</v>
      </c>
      <c r="H14" s="10">
        <v>9.09</v>
      </c>
      <c r="I14" s="15">
        <f t="shared" si="0"/>
        <v>0.21052299190516291</v>
      </c>
      <c r="J14" s="6">
        <v>220</v>
      </c>
      <c r="K14" s="10">
        <v>11.81</v>
      </c>
      <c r="L14" s="15">
        <f t="shared" si="1"/>
        <v>0.13817765230297852</v>
      </c>
    </row>
    <row r="15" spans="1:12" x14ac:dyDescent="0.2">
      <c r="A15" s="6">
        <v>240</v>
      </c>
      <c r="B15" s="1">
        <v>1.87</v>
      </c>
      <c r="C15" s="15">
        <f t="shared" si="2"/>
        <v>0.45586673948523321</v>
      </c>
      <c r="D15" s="6">
        <v>240</v>
      </c>
      <c r="E15" s="10">
        <v>8.1300000000000008</v>
      </c>
      <c r="F15" s="15">
        <f t="shared" si="3"/>
        <v>0.30142484485581078</v>
      </c>
      <c r="G15" s="6">
        <v>240</v>
      </c>
      <c r="H15" s="10">
        <v>8.93</v>
      </c>
      <c r="I15" s="15">
        <f t="shared" si="0"/>
        <v>0.22828150520614271</v>
      </c>
      <c r="J15" s="6">
        <v>240</v>
      </c>
      <c r="K15" s="10">
        <v>11.69</v>
      </c>
      <c r="L15" s="15">
        <f t="shared" si="1"/>
        <v>0.14839050702827256</v>
      </c>
    </row>
    <row r="16" spans="1:12" x14ac:dyDescent="0.2">
      <c r="A16" s="6">
        <v>260</v>
      </c>
      <c r="B16" s="1">
        <v>1.81</v>
      </c>
      <c r="C16" s="15">
        <f t="shared" si="2"/>
        <v>0.48847832507399408</v>
      </c>
      <c r="D16" s="6">
        <v>260</v>
      </c>
      <c r="E16" s="10">
        <v>7.94</v>
      </c>
      <c r="F16" s="15">
        <f t="shared" si="3"/>
        <v>0.32507249315648562</v>
      </c>
      <c r="G16" s="6">
        <v>260</v>
      </c>
      <c r="H16" s="10">
        <v>8.7799999999999994</v>
      </c>
      <c r="I16" s="15">
        <f t="shared" si="0"/>
        <v>0.24522149244752503</v>
      </c>
      <c r="J16" s="6">
        <v>260</v>
      </c>
      <c r="K16" s="10">
        <v>11.56</v>
      </c>
      <c r="L16" s="15">
        <f t="shared" si="1"/>
        <v>0.15957341926801807</v>
      </c>
    </row>
    <row r="17" spans="1:12" x14ac:dyDescent="0.2">
      <c r="A17" s="6">
        <v>280</v>
      </c>
      <c r="B17" s="1">
        <v>1.75</v>
      </c>
      <c r="C17" s="15">
        <f t="shared" si="2"/>
        <v>0.52218938241630586</v>
      </c>
      <c r="D17" s="6">
        <v>280</v>
      </c>
      <c r="E17" s="10">
        <v>7.74</v>
      </c>
      <c r="F17" s="15">
        <f t="shared" si="3"/>
        <v>0.35058408081389425</v>
      </c>
      <c r="G17" s="6">
        <v>280</v>
      </c>
      <c r="H17" s="10">
        <v>8.64</v>
      </c>
      <c r="I17" s="15">
        <f t="shared" si="0"/>
        <v>0.26129531727858607</v>
      </c>
      <c r="J17" s="6">
        <v>280</v>
      </c>
      <c r="K17" s="10">
        <v>11.42</v>
      </c>
      <c r="L17" s="15">
        <f t="shared" si="1"/>
        <v>0.17175807828438541</v>
      </c>
    </row>
    <row r="18" spans="1:12" x14ac:dyDescent="0.2">
      <c r="A18" s="6">
        <v>300</v>
      </c>
      <c r="B18" s="1">
        <v>1.68</v>
      </c>
      <c r="C18" s="15">
        <f t="shared" si="2"/>
        <v>0.56301137693656111</v>
      </c>
      <c r="D18" s="6">
        <v>300</v>
      </c>
      <c r="E18" s="10">
        <v>7.56</v>
      </c>
      <c r="F18" s="15">
        <f t="shared" si="3"/>
        <v>0.37411457822408845</v>
      </c>
      <c r="G18" s="6">
        <v>300</v>
      </c>
      <c r="H18" s="10">
        <v>8.49</v>
      </c>
      <c r="I18" s="15">
        <f t="shared" si="0"/>
        <v>0.27880889977129425</v>
      </c>
      <c r="J18" s="6">
        <v>300</v>
      </c>
      <c r="K18" s="10">
        <v>11.31</v>
      </c>
      <c r="L18" s="15">
        <f t="shared" si="1"/>
        <v>0.1814369923842204</v>
      </c>
    </row>
    <row r="19" spans="1:12" x14ac:dyDescent="0.2">
      <c r="A19" s="6">
        <v>320</v>
      </c>
      <c r="B19" s="1">
        <v>1.62</v>
      </c>
      <c r="C19" s="15">
        <f t="shared" si="2"/>
        <v>0.59937902110743579</v>
      </c>
      <c r="D19" s="6">
        <v>320</v>
      </c>
      <c r="E19" s="10">
        <v>7.38</v>
      </c>
      <c r="F19" s="15">
        <f t="shared" si="3"/>
        <v>0.39821212980314896</v>
      </c>
      <c r="G19" s="6">
        <v>320</v>
      </c>
      <c r="H19" s="10">
        <v>8.35</v>
      </c>
      <c r="I19" s="15">
        <f t="shared" si="0"/>
        <v>0.29543636123178624</v>
      </c>
      <c r="J19" s="6">
        <v>320</v>
      </c>
      <c r="K19" s="10">
        <v>11.18</v>
      </c>
      <c r="L19" s="15">
        <f t="shared" si="1"/>
        <v>0.19299781478529651</v>
      </c>
    </row>
    <row r="20" spans="1:12" x14ac:dyDescent="0.2">
      <c r="A20" s="6">
        <v>340</v>
      </c>
      <c r="B20" s="1">
        <v>1.56</v>
      </c>
      <c r="C20" s="15">
        <f t="shared" si="2"/>
        <v>0.63711934909028278</v>
      </c>
      <c r="D20" s="6">
        <v>340</v>
      </c>
      <c r="E20" s="10">
        <v>7.21</v>
      </c>
      <c r="F20" s="15">
        <f t="shared" si="3"/>
        <v>0.42151681711867234</v>
      </c>
      <c r="G20" s="6">
        <v>340</v>
      </c>
      <c r="H20" s="10">
        <v>8.2100000000000009</v>
      </c>
      <c r="I20" s="15">
        <f t="shared" si="0"/>
        <v>0.31234497663021332</v>
      </c>
      <c r="J20" s="6">
        <v>340</v>
      </c>
      <c r="K20" s="10">
        <v>11.06</v>
      </c>
      <c r="L20" s="15">
        <f t="shared" si="1"/>
        <v>0.20378928641806077</v>
      </c>
    </row>
    <row r="21" spans="1:12" x14ac:dyDescent="0.2">
      <c r="A21" s="6">
        <v>360</v>
      </c>
      <c r="B21" s="2">
        <v>1.5</v>
      </c>
      <c r="C21" s="15">
        <f t="shared" si="2"/>
        <v>0.67634006224356413</v>
      </c>
      <c r="D21" s="6">
        <v>360</v>
      </c>
      <c r="E21" s="10">
        <v>7.03</v>
      </c>
      <c r="F21" s="15">
        <f t="shared" si="3"/>
        <v>0.44679906259295638</v>
      </c>
      <c r="G21" s="6">
        <v>360</v>
      </c>
      <c r="H21" s="10">
        <v>8.07</v>
      </c>
      <c r="I21" s="15">
        <f t="shared" si="0"/>
        <v>0.32954441781269284</v>
      </c>
      <c r="J21" s="6">
        <v>360</v>
      </c>
      <c r="K21" s="10">
        <v>10.93</v>
      </c>
      <c r="L21" s="15">
        <f t="shared" si="1"/>
        <v>0.21561298032380244</v>
      </c>
    </row>
    <row r="22" spans="1:12" x14ac:dyDescent="0.2">
      <c r="A22" s="6">
        <v>380</v>
      </c>
      <c r="B22" s="1">
        <v>1.44</v>
      </c>
      <c r="C22" s="15">
        <f t="shared" si="2"/>
        <v>0.71716205676381928</v>
      </c>
      <c r="D22" s="6">
        <v>380</v>
      </c>
      <c r="E22" s="10">
        <v>6.86</v>
      </c>
      <c r="F22" s="15">
        <f t="shared" si="3"/>
        <v>0.47127832667773617</v>
      </c>
      <c r="G22" s="6">
        <v>380</v>
      </c>
      <c r="H22" s="10">
        <v>7.93</v>
      </c>
      <c r="I22" s="15">
        <f t="shared" si="0"/>
        <v>0.34704486444779375</v>
      </c>
      <c r="J22" s="6">
        <v>380</v>
      </c>
      <c r="K22" s="10">
        <v>10.82</v>
      </c>
      <c r="L22" s="15">
        <f t="shared" si="1"/>
        <v>0.22572800909391408</v>
      </c>
    </row>
    <row r="23" spans="1:12" x14ac:dyDescent="0.2">
      <c r="A23" s="6">
        <v>400</v>
      </c>
      <c r="B23" s="2">
        <v>1.4</v>
      </c>
      <c r="C23" s="15">
        <f t="shared" si="2"/>
        <v>0.74533293373051557</v>
      </c>
      <c r="D23" s="6">
        <v>400</v>
      </c>
      <c r="E23" s="10">
        <v>6.69</v>
      </c>
      <c r="F23" s="15">
        <f t="shared" si="3"/>
        <v>0.49637189427539291</v>
      </c>
      <c r="G23" s="6">
        <v>400</v>
      </c>
      <c r="H23" s="10">
        <v>7.81</v>
      </c>
      <c r="I23" s="15">
        <f t="shared" si="0"/>
        <v>0.36229293624295572</v>
      </c>
      <c r="J23" s="6">
        <v>400</v>
      </c>
      <c r="K23" s="11">
        <v>10.7</v>
      </c>
      <c r="L23" s="15">
        <f t="shared" si="1"/>
        <v>0.23688054104438905</v>
      </c>
    </row>
    <row r="24" spans="1:12" x14ac:dyDescent="0.2">
      <c r="A24" s="6">
        <v>420</v>
      </c>
      <c r="B24" s="1">
        <v>1.35</v>
      </c>
      <c r="C24" s="15">
        <f t="shared" si="2"/>
        <v>0.78170057790139036</v>
      </c>
      <c r="D24" s="6">
        <v>420</v>
      </c>
      <c r="E24" s="10">
        <v>6.54</v>
      </c>
      <c r="F24" s="15">
        <f t="shared" si="3"/>
        <v>0.51904860294642274</v>
      </c>
      <c r="G24" s="6">
        <v>420</v>
      </c>
      <c r="H24" s="10">
        <v>7.69</v>
      </c>
      <c r="I24" s="15">
        <f t="shared" si="0"/>
        <v>0.37777711657699758</v>
      </c>
      <c r="J24" s="6">
        <v>420</v>
      </c>
      <c r="K24" s="10">
        <v>10.59</v>
      </c>
      <c r="L24" s="15">
        <f t="shared" si="1"/>
        <v>0.24721412289893449</v>
      </c>
    </row>
    <row r="25" spans="1:12" x14ac:dyDescent="0.2">
      <c r="A25" s="6">
        <v>440</v>
      </c>
      <c r="B25" s="2">
        <v>1.3</v>
      </c>
      <c r="C25" s="15">
        <f t="shared" si="2"/>
        <v>0.81944090588423746</v>
      </c>
      <c r="D25" s="6">
        <v>440</v>
      </c>
      <c r="E25" s="10">
        <v>6.39</v>
      </c>
      <c r="F25" s="15">
        <f t="shared" si="3"/>
        <v>0.54225150002608657</v>
      </c>
      <c r="G25" s="6">
        <v>440</v>
      </c>
      <c r="H25" s="10">
        <v>7.56</v>
      </c>
      <c r="I25" s="15">
        <f t="shared" si="0"/>
        <v>0.39482670990310875</v>
      </c>
      <c r="J25" s="6">
        <v>440</v>
      </c>
      <c r="K25" s="10">
        <v>10.48</v>
      </c>
      <c r="L25" s="15">
        <f t="shared" si="1"/>
        <v>0.25765560361935336</v>
      </c>
    </row>
    <row r="26" spans="1:12" ht="17" thickBot="1" x14ac:dyDescent="0.25">
      <c r="A26" s="6">
        <v>460</v>
      </c>
      <c r="B26" s="1">
        <v>1.25</v>
      </c>
      <c r="C26" s="15">
        <f t="shared" si="2"/>
        <v>0.8586616190375187</v>
      </c>
      <c r="D26" s="6">
        <v>460</v>
      </c>
      <c r="E26" s="10">
        <v>6.22</v>
      </c>
      <c r="F26" s="15">
        <f t="shared" si="3"/>
        <v>0.56921586166444205</v>
      </c>
      <c r="G26" s="6">
        <v>460</v>
      </c>
      <c r="H26" s="10">
        <v>7.43</v>
      </c>
      <c r="I26" s="15">
        <f t="shared" si="0"/>
        <v>0.41217204136488261</v>
      </c>
      <c r="J26" s="8">
        <v>460</v>
      </c>
      <c r="K26" s="12">
        <v>10.38</v>
      </c>
      <c r="L26" s="16">
        <f t="shared" si="1"/>
        <v>0.26724340477450681</v>
      </c>
    </row>
    <row r="27" spans="1:12" ht="17" thickBot="1" x14ac:dyDescent="0.25">
      <c r="A27" s="8">
        <v>480</v>
      </c>
      <c r="B27" s="9">
        <v>1.21</v>
      </c>
      <c r="C27" s="16">
        <f t="shared" si="2"/>
        <v>0.89118481074307876</v>
      </c>
      <c r="D27" s="8">
        <v>480</v>
      </c>
      <c r="E27" s="12">
        <v>6.08</v>
      </c>
      <c r="F27" s="16">
        <f t="shared" si="3"/>
        <v>0.59198107243745424</v>
      </c>
      <c r="G27" s="6">
        <v>480</v>
      </c>
      <c r="H27" s="10">
        <v>7.32</v>
      </c>
      <c r="I27" s="15">
        <f t="shared" si="0"/>
        <v>0.42708757212133014</v>
      </c>
      <c r="J27" s="17" t="s">
        <v>7</v>
      </c>
      <c r="K27" s="17" t="s">
        <v>7</v>
      </c>
      <c r="L27" s="18" t="s">
        <v>7</v>
      </c>
    </row>
    <row r="28" spans="1:12" x14ac:dyDescent="0.2">
      <c r="A28" s="19" t="s">
        <v>7</v>
      </c>
      <c r="B28" s="17" t="s">
        <v>7</v>
      </c>
      <c r="C28" s="17" t="s">
        <v>7</v>
      </c>
      <c r="D28" s="17" t="s">
        <v>7</v>
      </c>
      <c r="E28" s="17" t="s">
        <v>7</v>
      </c>
      <c r="F28" s="17" t="s">
        <v>7</v>
      </c>
      <c r="G28" s="6">
        <v>500</v>
      </c>
      <c r="H28" s="10">
        <v>7.19</v>
      </c>
      <c r="I28" s="15">
        <f t="shared" si="0"/>
        <v>0.44500672836159488</v>
      </c>
      <c r="J28" s="17" t="s">
        <v>7</v>
      </c>
      <c r="K28" s="17" t="s">
        <v>7</v>
      </c>
      <c r="L28" s="18" t="s">
        <v>7</v>
      </c>
    </row>
    <row r="29" spans="1:12" x14ac:dyDescent="0.2">
      <c r="A29" s="19" t="s">
        <v>7</v>
      </c>
      <c r="B29" s="17" t="s">
        <v>7</v>
      </c>
      <c r="C29" s="17" t="s">
        <v>7</v>
      </c>
      <c r="D29" s="17" t="s">
        <v>7</v>
      </c>
      <c r="E29" s="17" t="s">
        <v>7</v>
      </c>
      <c r="F29" s="17" t="s">
        <v>7</v>
      </c>
      <c r="G29" s="6">
        <v>520</v>
      </c>
      <c r="H29" s="10">
        <v>7.07</v>
      </c>
      <c r="I29" s="15">
        <f t="shared" si="0"/>
        <v>0.46183742018606888</v>
      </c>
      <c r="J29" s="17" t="s">
        <v>7</v>
      </c>
      <c r="K29" s="17" t="s">
        <v>7</v>
      </c>
      <c r="L29" s="18" t="s">
        <v>7</v>
      </c>
    </row>
    <row r="30" spans="1:12" x14ac:dyDescent="0.2">
      <c r="A30" s="19" t="s">
        <v>7</v>
      </c>
      <c r="B30" s="17" t="s">
        <v>7</v>
      </c>
      <c r="C30" s="17" t="s">
        <v>7</v>
      </c>
      <c r="D30" s="17" t="s">
        <v>7</v>
      </c>
      <c r="E30" s="17" t="s">
        <v>7</v>
      </c>
      <c r="F30" s="17" t="s">
        <v>7</v>
      </c>
      <c r="G30" s="6">
        <v>540</v>
      </c>
      <c r="H30" s="10">
        <v>6.97</v>
      </c>
      <c r="I30" s="15">
        <f t="shared" si="0"/>
        <v>0.4760826753221179</v>
      </c>
      <c r="J30" s="17" t="s">
        <v>7</v>
      </c>
      <c r="K30" s="17" t="s">
        <v>7</v>
      </c>
      <c r="L30" s="18" t="s">
        <v>7</v>
      </c>
    </row>
    <row r="31" spans="1:12" x14ac:dyDescent="0.2">
      <c r="A31" s="19" t="s">
        <v>7</v>
      </c>
      <c r="B31" s="17" t="s">
        <v>7</v>
      </c>
      <c r="C31" s="17" t="s">
        <v>7</v>
      </c>
      <c r="D31" s="17" t="s">
        <v>7</v>
      </c>
      <c r="E31" s="17" t="s">
        <v>7</v>
      </c>
      <c r="F31" s="17" t="s">
        <v>7</v>
      </c>
      <c r="G31" s="6">
        <v>560</v>
      </c>
      <c r="H31" s="10">
        <v>6.85</v>
      </c>
      <c r="I31" s="15">
        <f t="shared" si="0"/>
        <v>0.49344924782041638</v>
      </c>
      <c r="J31" s="17" t="s">
        <v>7</v>
      </c>
      <c r="K31" s="17" t="s">
        <v>7</v>
      </c>
      <c r="L31" s="18" t="s">
        <v>7</v>
      </c>
    </row>
    <row r="32" spans="1:12" x14ac:dyDescent="0.2">
      <c r="A32" s="19" t="s">
        <v>7</v>
      </c>
      <c r="B32" s="17" t="s">
        <v>7</v>
      </c>
      <c r="C32" s="17" t="s">
        <v>7</v>
      </c>
      <c r="D32" s="17" t="s">
        <v>7</v>
      </c>
      <c r="E32" s="17" t="s">
        <v>7</v>
      </c>
      <c r="F32" s="17" t="s">
        <v>7</v>
      </c>
      <c r="G32" s="6">
        <v>580</v>
      </c>
      <c r="H32" s="10">
        <v>6.73</v>
      </c>
      <c r="I32" s="15">
        <f t="shared" si="0"/>
        <v>0.51112275643791383</v>
      </c>
      <c r="J32" s="17" t="s">
        <v>7</v>
      </c>
      <c r="K32" s="17" t="s">
        <v>7</v>
      </c>
      <c r="L32" s="18" t="s">
        <v>7</v>
      </c>
    </row>
    <row r="33" spans="1:12" x14ac:dyDescent="0.2">
      <c r="A33" s="19" t="s">
        <v>7</v>
      </c>
      <c r="B33" s="17" t="s">
        <v>7</v>
      </c>
      <c r="C33" s="17" t="s">
        <v>7</v>
      </c>
      <c r="D33" s="17" t="s">
        <v>7</v>
      </c>
      <c r="E33" s="17" t="s">
        <v>7</v>
      </c>
      <c r="F33" s="17" t="s">
        <v>7</v>
      </c>
      <c r="G33" s="6">
        <v>600</v>
      </c>
      <c r="H33" s="10">
        <v>6.62</v>
      </c>
      <c r="I33" s="15">
        <f t="shared" si="0"/>
        <v>0.52760253014563352</v>
      </c>
      <c r="J33" s="17" t="s">
        <v>7</v>
      </c>
      <c r="K33" s="17" t="s">
        <v>7</v>
      </c>
      <c r="L33" s="18" t="s">
        <v>7</v>
      </c>
    </row>
    <row r="34" spans="1:12" x14ac:dyDescent="0.2">
      <c r="A34" s="19" t="s">
        <v>7</v>
      </c>
      <c r="B34" s="17" t="s">
        <v>7</v>
      </c>
      <c r="C34" s="17" t="s">
        <v>7</v>
      </c>
      <c r="D34" s="17" t="s">
        <v>7</v>
      </c>
      <c r="E34" s="17" t="s">
        <v>7</v>
      </c>
      <c r="F34" s="17" t="s">
        <v>7</v>
      </c>
      <c r="G34" s="6">
        <v>620</v>
      </c>
      <c r="H34" s="10">
        <v>6.52</v>
      </c>
      <c r="I34" s="15">
        <f t="shared" si="0"/>
        <v>0.54282352415598878</v>
      </c>
      <c r="J34" s="17" t="s">
        <v>7</v>
      </c>
      <c r="K34" s="17" t="s">
        <v>7</v>
      </c>
      <c r="L34" s="18" t="s">
        <v>7</v>
      </c>
    </row>
    <row r="35" spans="1:12" x14ac:dyDescent="0.2">
      <c r="A35" s="19" t="s">
        <v>7</v>
      </c>
      <c r="B35" s="17" t="s">
        <v>7</v>
      </c>
      <c r="C35" s="17" t="s">
        <v>7</v>
      </c>
      <c r="D35" s="17" t="s">
        <v>7</v>
      </c>
      <c r="E35" s="17" t="s">
        <v>7</v>
      </c>
      <c r="F35" s="17" t="s">
        <v>7</v>
      </c>
      <c r="G35" s="6">
        <v>640</v>
      </c>
      <c r="H35" s="10">
        <v>6.42</v>
      </c>
      <c r="I35" s="15">
        <f t="shared" si="0"/>
        <v>0.5582797823926805</v>
      </c>
      <c r="J35" s="17" t="s">
        <v>7</v>
      </c>
      <c r="K35" s="17" t="s">
        <v>7</v>
      </c>
      <c r="L35" s="18" t="s">
        <v>7</v>
      </c>
    </row>
    <row r="36" spans="1:12" x14ac:dyDescent="0.2">
      <c r="A36" s="19" t="s">
        <v>7</v>
      </c>
      <c r="B36" s="17" t="s">
        <v>7</v>
      </c>
      <c r="C36" s="17" t="s">
        <v>7</v>
      </c>
      <c r="D36" s="17" t="s">
        <v>7</v>
      </c>
      <c r="E36" s="17" t="s">
        <v>7</v>
      </c>
      <c r="F36" s="17" t="s">
        <v>7</v>
      </c>
      <c r="G36" s="6">
        <v>660</v>
      </c>
      <c r="H36" s="10">
        <v>6.32</v>
      </c>
      <c r="I36" s="15">
        <f t="shared" si="0"/>
        <v>0.57397869193578432</v>
      </c>
      <c r="J36" s="17" t="s">
        <v>7</v>
      </c>
      <c r="K36" s="17" t="s">
        <v>7</v>
      </c>
      <c r="L36" s="18" t="s">
        <v>7</v>
      </c>
    </row>
    <row r="37" spans="1:12" x14ac:dyDescent="0.2">
      <c r="A37" s="19" t="s">
        <v>7</v>
      </c>
      <c r="B37" s="17" t="s">
        <v>7</v>
      </c>
      <c r="C37" s="17" t="s">
        <v>7</v>
      </c>
      <c r="D37" s="17" t="s">
        <v>7</v>
      </c>
      <c r="E37" s="17" t="s">
        <v>7</v>
      </c>
      <c r="F37" s="17" t="s">
        <v>7</v>
      </c>
      <c r="G37" s="6">
        <v>680</v>
      </c>
      <c r="H37" s="10">
        <v>6.23</v>
      </c>
      <c r="I37" s="15">
        <f t="shared" si="0"/>
        <v>0.58832156729518836</v>
      </c>
      <c r="J37" s="17" t="s">
        <v>7</v>
      </c>
      <c r="K37" s="17" t="s">
        <v>7</v>
      </c>
      <c r="L37" s="18" t="s">
        <v>7</v>
      </c>
    </row>
    <row r="38" spans="1:12" x14ac:dyDescent="0.2">
      <c r="A38" s="19" t="s">
        <v>7</v>
      </c>
      <c r="B38" s="17" t="s">
        <v>7</v>
      </c>
      <c r="C38" s="17" t="s">
        <v>7</v>
      </c>
      <c r="D38" s="17" t="s">
        <v>7</v>
      </c>
      <c r="E38" s="17" t="s">
        <v>7</v>
      </c>
      <c r="F38" s="17" t="s">
        <v>7</v>
      </c>
      <c r="G38" s="6">
        <v>700</v>
      </c>
      <c r="H38" s="10">
        <v>6.13</v>
      </c>
      <c r="I38" s="15">
        <f t="shared" si="0"/>
        <v>0.60450315014643041</v>
      </c>
      <c r="J38" s="17" t="s">
        <v>7</v>
      </c>
      <c r="K38" s="17" t="s">
        <v>7</v>
      </c>
      <c r="L38" s="18" t="s">
        <v>7</v>
      </c>
    </row>
    <row r="39" spans="1:12" ht="17" thickBot="1" x14ac:dyDescent="0.25">
      <c r="A39" s="20" t="s">
        <v>7</v>
      </c>
      <c r="B39" s="21" t="s">
        <v>7</v>
      </c>
      <c r="C39" s="21" t="s">
        <v>7</v>
      </c>
      <c r="D39" s="21" t="s">
        <v>7</v>
      </c>
      <c r="E39" s="21" t="s">
        <v>7</v>
      </c>
      <c r="F39" s="21" t="s">
        <v>7</v>
      </c>
      <c r="G39" s="8">
        <v>720</v>
      </c>
      <c r="H39" s="13">
        <v>6.04</v>
      </c>
      <c r="I39" s="16">
        <f t="shared" si="0"/>
        <v>0.61929388814782671</v>
      </c>
      <c r="J39" s="21" t="s">
        <v>7</v>
      </c>
      <c r="K39" s="21" t="s">
        <v>7</v>
      </c>
      <c r="L39" s="22" t="s">
        <v>7</v>
      </c>
    </row>
  </sheetData>
  <mergeCells count="4">
    <mergeCell ref="A1:C1"/>
    <mergeCell ref="D1:F1"/>
    <mergeCell ref="G1:I1"/>
    <mergeCell ref="J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2021-03-29T17:43:24Z</dcterms:created>
  <dcterms:modified xsi:type="dcterms:W3CDTF">2021-03-29T18:19:21Z</dcterms:modified>
</cp:coreProperties>
</file>