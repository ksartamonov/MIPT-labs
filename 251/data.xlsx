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ill/Desktop/"/>
    </mc:Choice>
  </mc:AlternateContent>
  <xr:revisionPtr revIDLastSave="0" documentId="13_ncr:1_{E394703C-504D-974E-ADC9-20752DC7BD03}" xr6:coauthVersionLast="46" xr6:coauthVersionMax="46" xr10:uidLastSave="{00000000-0000-0000-0000-000000000000}"/>
  <bookViews>
    <workbookView xWindow="0" yWindow="520" windowWidth="28760" windowHeight="16280" xr2:uid="{6E3B44B0-8463-DE4B-97C8-DF38C709997D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1" i="1" l="1"/>
  <c r="Q61" i="1"/>
  <c r="O61" i="1"/>
  <c r="R55" i="1"/>
  <c r="R56" i="1"/>
  <c r="R57" i="1"/>
  <c r="R61" i="1" s="1"/>
  <c r="T57" i="1" s="1"/>
  <c r="T58" i="1" s="1"/>
  <c r="R58" i="1"/>
  <c r="R59" i="1"/>
  <c r="R60" i="1"/>
  <c r="R54" i="1"/>
  <c r="Q55" i="1"/>
  <c r="Q56" i="1"/>
  <c r="Q57" i="1"/>
  <c r="Q58" i="1"/>
  <c r="Q59" i="1"/>
  <c r="Q60" i="1"/>
  <c r="Q54" i="1"/>
</calcChain>
</file>

<file path=xl/sharedStrings.xml><?xml version="1.0" encoding="utf-8"?>
<sst xmlns="http://schemas.openxmlformats.org/spreadsheetml/2006/main" count="10" uniqueCount="10">
  <si>
    <t>h_1</t>
  </si>
  <si>
    <t>h_2</t>
  </si>
  <si>
    <t>h_3</t>
  </si>
  <si>
    <t>h_4</t>
  </si>
  <si>
    <t>h_5</t>
  </si>
  <si>
    <t>градусы цельсия</t>
  </si>
  <si>
    <t>x</t>
  </si>
  <si>
    <t>y</t>
  </si>
  <si>
    <t>x^2</t>
  </si>
  <si>
    <t>y^2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</si>
</sst>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venir N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Лист1!$O$18:$O$24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xVal>
          <c:yVal>
            <c:numRef>
              <c:f>Лист1!$P$18:$P$24</c:f>
              <c:numCache>
                <c:formatCode>General</c:formatCode>
                <c:ptCount val="7"/>
                <c:pt idx="0">
                  <c:v>70.2</c:v>
                </c:pt>
                <c:pt idx="1">
                  <c:v>70.099999999999994</c:v>
                </c:pt>
                <c:pt idx="2">
                  <c:v>69.7</c:v>
                </c:pt>
                <c:pt idx="3">
                  <c:v>68.599999999999994</c:v>
                </c:pt>
                <c:pt idx="4">
                  <c:v>68</c:v>
                </c:pt>
                <c:pt idx="5">
                  <c:v>67.599999999999994</c:v>
                </c:pt>
                <c:pt idx="6">
                  <c:v>67.3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30-484E-90BC-7605C7666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472000"/>
        <c:axId val="1070473648"/>
      </c:scatterChart>
      <c:valAx>
        <c:axId val="107047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0473648"/>
        <c:crosses val="autoZero"/>
        <c:crossBetween val="midCat"/>
      </c:valAx>
      <c:valAx>
        <c:axId val="10704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047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Лист1!$O$29:$O$35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xVal>
          <c:yVal>
            <c:numRef>
              <c:f>Лист1!$P$29:$P$35</c:f>
              <c:numCache>
                <c:formatCode>General</c:formatCode>
                <c:ptCount val="7"/>
                <c:pt idx="0">
                  <c:v>36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9-2C42-A1C3-80BC73D1354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Лист1!$O$29:$O$35</c:f>
              <c:numCache>
                <c:formatCode>General</c:formatCode>
                <c:ptCount val="7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</c:numCache>
            </c:numRef>
          </c:xVal>
          <c:yVal>
            <c:numRef>
              <c:f>Лист1!$Q$29:$Q$35</c:f>
              <c:numCache>
                <c:formatCode>General</c:formatCode>
                <c:ptCount val="7"/>
                <c:pt idx="0">
                  <c:v>34</c:v>
                </c:pt>
                <c:pt idx="1">
                  <c:v>34</c:v>
                </c:pt>
                <c:pt idx="2">
                  <c:v>33</c:v>
                </c:pt>
                <c:pt idx="3">
                  <c:v>31</c:v>
                </c:pt>
                <c:pt idx="4">
                  <c:v>30</c:v>
                </c:pt>
                <c:pt idx="5">
                  <c:v>29</c:v>
                </c:pt>
                <c:pt idx="6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F9-2C42-A1C3-80BC73D13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76112"/>
        <c:axId val="1080271936"/>
      </c:scatterChart>
      <c:valAx>
        <c:axId val="107917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0271936"/>
        <c:crosses val="autoZero"/>
        <c:crossBetween val="midCat"/>
      </c:valAx>
      <c:valAx>
        <c:axId val="10802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17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54093</xdr:colOff>
      <xdr:row>10</xdr:row>
      <xdr:rowOff>104187</xdr:rowOff>
    </xdr:from>
    <xdr:to>
      <xdr:col>22</xdr:col>
      <xdr:colOff>510352</xdr:colOff>
      <xdr:row>23</xdr:row>
      <xdr:rowOff>178035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F22F2AB-A984-524B-A870-3A409CE47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6785</xdr:colOff>
      <xdr:row>28</xdr:row>
      <xdr:rowOff>14736</xdr:rowOff>
    </xdr:from>
    <xdr:to>
      <xdr:col>26</xdr:col>
      <xdr:colOff>519044</xdr:colOff>
      <xdr:row>49</xdr:row>
      <xdr:rowOff>11044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6A60F20-2562-534A-81B4-1CB184112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4964-56B7-2B42-83CE-D6935213B8F9}">
  <dimension ref="O1:U61"/>
  <sheetViews>
    <sheetView tabSelected="1" zoomScale="82" workbookViewId="0">
      <selection activeCell="C8" sqref="C8"/>
    </sheetView>
  </sheetViews>
  <sheetFormatPr baseColWidth="10" defaultRowHeight="16" x14ac:dyDescent="0.2"/>
  <cols>
    <col min="2" max="2" width="19.33203125" customWidth="1"/>
    <col min="4" max="4" width="21.6640625" customWidth="1"/>
    <col min="16" max="16" width="24.1640625" customWidth="1"/>
    <col min="20" max="20" width="39.6640625" customWidth="1"/>
  </cols>
  <sheetData>
    <row r="1" spans="16:21" x14ac:dyDescent="0.2">
      <c r="P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</row>
    <row r="2" spans="16:21" x14ac:dyDescent="0.2">
      <c r="P2" s="1">
        <v>25.4</v>
      </c>
      <c r="Q2" s="1">
        <v>200</v>
      </c>
      <c r="R2" s="1">
        <v>201</v>
      </c>
      <c r="S2" s="1">
        <v>202</v>
      </c>
      <c r="T2" s="1">
        <v>201</v>
      </c>
      <c r="U2" s="1">
        <v>203</v>
      </c>
    </row>
    <row r="3" spans="16:21" x14ac:dyDescent="0.2">
      <c r="P3" s="1">
        <v>30</v>
      </c>
      <c r="Q3" s="1">
        <v>200</v>
      </c>
      <c r="R3" s="1">
        <v>203</v>
      </c>
      <c r="S3" s="1">
        <v>202</v>
      </c>
      <c r="T3" s="1">
        <v>200</v>
      </c>
      <c r="U3" s="1">
        <v>201</v>
      </c>
    </row>
    <row r="4" spans="16:21" x14ac:dyDescent="0.2">
      <c r="P4" s="1">
        <v>35</v>
      </c>
      <c r="Q4" s="1">
        <v>199</v>
      </c>
      <c r="R4" s="1">
        <v>200</v>
      </c>
      <c r="S4" s="1">
        <v>201</v>
      </c>
      <c r="T4" s="1">
        <v>202</v>
      </c>
      <c r="U4" s="1">
        <v>200</v>
      </c>
    </row>
    <row r="5" spans="16:21" x14ac:dyDescent="0.2">
      <c r="P5" s="1">
        <v>40</v>
      </c>
      <c r="Q5" s="1">
        <v>198</v>
      </c>
      <c r="R5" s="1">
        <v>199</v>
      </c>
      <c r="S5" s="1">
        <v>199</v>
      </c>
      <c r="T5" s="1">
        <v>197</v>
      </c>
      <c r="U5" s="1">
        <v>200</v>
      </c>
    </row>
    <row r="6" spans="16:21" x14ac:dyDescent="0.2">
      <c r="P6" s="1">
        <v>45</v>
      </c>
      <c r="Q6" s="1">
        <v>197</v>
      </c>
      <c r="R6" s="1">
        <v>198</v>
      </c>
      <c r="S6" s="1">
        <v>197</v>
      </c>
      <c r="T6" s="1">
        <v>198</v>
      </c>
      <c r="U6" s="1">
        <v>196</v>
      </c>
    </row>
    <row r="7" spans="16:21" x14ac:dyDescent="0.2">
      <c r="P7" s="1">
        <v>50</v>
      </c>
      <c r="Q7" s="1">
        <v>196</v>
      </c>
      <c r="R7" s="1">
        <v>197</v>
      </c>
      <c r="S7" s="1">
        <v>197</v>
      </c>
      <c r="T7" s="1">
        <v>196</v>
      </c>
      <c r="U7" s="1">
        <v>198</v>
      </c>
    </row>
    <row r="8" spans="16:21" x14ac:dyDescent="0.2">
      <c r="P8" s="1">
        <v>55</v>
      </c>
      <c r="Q8" s="1">
        <v>196</v>
      </c>
      <c r="R8" s="1">
        <v>197</v>
      </c>
      <c r="S8" s="1">
        <v>196</v>
      </c>
      <c r="T8" s="1">
        <v>196</v>
      </c>
      <c r="U8" s="1">
        <v>197</v>
      </c>
    </row>
    <row r="18" spans="15:17" ht="17" x14ac:dyDescent="0.25">
      <c r="O18">
        <v>25</v>
      </c>
      <c r="P18" s="2">
        <v>70.2</v>
      </c>
    </row>
    <row r="19" spans="15:17" ht="17" x14ac:dyDescent="0.25">
      <c r="O19">
        <v>30</v>
      </c>
      <c r="P19" s="2">
        <v>70.099999999999994</v>
      </c>
    </row>
    <row r="20" spans="15:17" ht="17" x14ac:dyDescent="0.25">
      <c r="O20">
        <v>35</v>
      </c>
      <c r="P20" s="2">
        <v>69.7</v>
      </c>
    </row>
    <row r="21" spans="15:17" ht="17" x14ac:dyDescent="0.25">
      <c r="O21">
        <v>40</v>
      </c>
      <c r="P21" s="2">
        <v>68.599999999999994</v>
      </c>
    </row>
    <row r="22" spans="15:17" ht="17" x14ac:dyDescent="0.25">
      <c r="O22">
        <v>45</v>
      </c>
      <c r="P22" s="2">
        <v>68</v>
      </c>
    </row>
    <row r="23" spans="15:17" ht="17" x14ac:dyDescent="0.25">
      <c r="O23">
        <v>50</v>
      </c>
      <c r="P23" s="2">
        <v>67.599999999999994</v>
      </c>
    </row>
    <row r="24" spans="15:17" ht="17" x14ac:dyDescent="0.25">
      <c r="O24">
        <v>55</v>
      </c>
      <c r="P24" s="2">
        <v>67.3</v>
      </c>
    </row>
    <row r="29" spans="15:17" ht="17" x14ac:dyDescent="0.25">
      <c r="O29" s="2">
        <v>25</v>
      </c>
      <c r="P29" s="2">
        <v>36</v>
      </c>
      <c r="Q29" s="2">
        <v>34</v>
      </c>
    </row>
    <row r="30" spans="15:17" ht="17" x14ac:dyDescent="0.25">
      <c r="O30" s="2">
        <v>30</v>
      </c>
      <c r="P30" s="2">
        <v>36</v>
      </c>
      <c r="Q30" s="2">
        <v>34</v>
      </c>
    </row>
    <row r="31" spans="15:17" ht="17" x14ac:dyDescent="0.25">
      <c r="O31" s="2">
        <v>35</v>
      </c>
      <c r="P31" s="2">
        <v>37</v>
      </c>
      <c r="Q31" s="2">
        <v>33</v>
      </c>
    </row>
    <row r="32" spans="15:17" ht="17" x14ac:dyDescent="0.25">
      <c r="O32" s="2">
        <v>40</v>
      </c>
      <c r="P32" s="2">
        <v>38</v>
      </c>
      <c r="Q32" s="2">
        <v>31</v>
      </c>
    </row>
    <row r="33" spans="15:17" ht="17" x14ac:dyDescent="0.25">
      <c r="O33" s="2">
        <v>45</v>
      </c>
      <c r="P33" s="2">
        <v>38</v>
      </c>
      <c r="Q33" s="2">
        <v>30</v>
      </c>
    </row>
    <row r="34" spans="15:17" ht="17" x14ac:dyDescent="0.25">
      <c r="O34" s="2">
        <v>50</v>
      </c>
      <c r="P34" s="2">
        <v>39</v>
      </c>
      <c r="Q34" s="2">
        <v>29</v>
      </c>
    </row>
    <row r="35" spans="15:17" ht="17" x14ac:dyDescent="0.25">
      <c r="O35" s="2">
        <v>55</v>
      </c>
      <c r="P35" s="2">
        <v>39</v>
      </c>
      <c r="Q35" s="2">
        <v>28</v>
      </c>
    </row>
    <row r="53" spans="15:20" x14ac:dyDescent="0.2">
      <c r="O53" t="s">
        <v>6</v>
      </c>
      <c r="P53" t="s">
        <v>7</v>
      </c>
      <c r="Q53" t="s">
        <v>8</v>
      </c>
      <c r="R53" t="s">
        <v>9</v>
      </c>
    </row>
    <row r="54" spans="15:20" ht="17" x14ac:dyDescent="0.25">
      <c r="O54" s="2">
        <v>25</v>
      </c>
      <c r="P54" s="2">
        <v>34</v>
      </c>
      <c r="Q54">
        <f>O54*O54</f>
        <v>625</v>
      </c>
      <c r="R54">
        <f>P54*P54</f>
        <v>1156</v>
      </c>
    </row>
    <row r="55" spans="15:20" ht="17" x14ac:dyDescent="0.25">
      <c r="O55" s="2">
        <v>30</v>
      </c>
      <c r="P55" s="2">
        <v>34</v>
      </c>
      <c r="Q55">
        <f t="shared" ref="Q55:Q60" si="0">O55*O55</f>
        <v>900</v>
      </c>
      <c r="R55">
        <f t="shared" ref="R55:R60" si="1">P55*P55</f>
        <v>1156</v>
      </c>
    </row>
    <row r="56" spans="15:20" ht="17" x14ac:dyDescent="0.25">
      <c r="O56" s="2">
        <v>35</v>
      </c>
      <c r="P56" s="2">
        <v>33</v>
      </c>
      <c r="Q56">
        <f t="shared" si="0"/>
        <v>1225</v>
      </c>
      <c r="R56">
        <f t="shared" si="1"/>
        <v>1089</v>
      </c>
    </row>
    <row r="57" spans="15:20" ht="17" x14ac:dyDescent="0.25">
      <c r="O57" s="2">
        <v>40</v>
      </c>
      <c r="P57" s="2">
        <v>31</v>
      </c>
      <c r="Q57">
        <f t="shared" si="0"/>
        <v>1600</v>
      </c>
      <c r="R57">
        <f t="shared" si="1"/>
        <v>961</v>
      </c>
      <c r="T57">
        <f>(1/SQRT(6) ) * SQRT(((R61-P61*P61) / (Q61 - O61*O61)) - 0.1143 *0.001 )</f>
        <v>9.1740526212029286E-2</v>
      </c>
    </row>
    <row r="58" spans="15:20" ht="17" x14ac:dyDescent="0.25">
      <c r="O58" s="2">
        <v>45</v>
      </c>
      <c r="P58" s="2">
        <v>30</v>
      </c>
      <c r="Q58">
        <f t="shared" si="0"/>
        <v>2025</v>
      </c>
      <c r="R58">
        <f t="shared" si="1"/>
        <v>900</v>
      </c>
      <c r="T58">
        <f>T57*SQRT(Q61 - O61*O61)</f>
        <v>0.91740526212029283</v>
      </c>
    </row>
    <row r="59" spans="15:20" ht="17" x14ac:dyDescent="0.25">
      <c r="O59" s="2">
        <v>50</v>
      </c>
      <c r="P59" s="2">
        <v>29</v>
      </c>
      <c r="Q59">
        <f t="shared" si="0"/>
        <v>2500</v>
      </c>
      <c r="R59">
        <f t="shared" si="1"/>
        <v>841</v>
      </c>
    </row>
    <row r="60" spans="15:20" ht="17" x14ac:dyDescent="0.25">
      <c r="O60" s="2">
        <v>55</v>
      </c>
      <c r="P60" s="2">
        <v>28</v>
      </c>
      <c r="Q60">
        <f t="shared" si="0"/>
        <v>3025</v>
      </c>
      <c r="R60">
        <f t="shared" si="1"/>
        <v>784</v>
      </c>
    </row>
    <row r="61" spans="15:20" x14ac:dyDescent="0.2">
      <c r="O61">
        <f>AVERAGE(O54:O60)</f>
        <v>40</v>
      </c>
      <c r="P61">
        <f t="shared" ref="P61:R61" si="2">AVERAGE(P54:P60)</f>
        <v>31.285714285714285</v>
      </c>
      <c r="Q61">
        <f t="shared" si="2"/>
        <v>1700</v>
      </c>
      <c r="R61">
        <f t="shared" si="2"/>
        <v>983.85714285714289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2021-04-14T09:20:16Z</dcterms:created>
  <dcterms:modified xsi:type="dcterms:W3CDTF">2021-04-22T13:33:54Z</dcterms:modified>
</cp:coreProperties>
</file>